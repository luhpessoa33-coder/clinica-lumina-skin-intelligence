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amento" sheetId="2" state="visible" r:id="rId2"/>
    <sheet xmlns:r="http://schemas.openxmlformats.org/officeDocument/2006/relationships" name="Contingências" sheetId="3" state="visible" r:id="rId3"/>
    <sheet xmlns:r="http://schemas.openxmlformats.org/officeDocument/2006/relationships" name="Plano de reserva" sheetId="4" state="visible" r:id="rId4"/>
    <sheet xmlns:r="http://schemas.openxmlformats.org/officeDocument/2006/relationships" name="Plano de compras" sheetId="5" state="visible" r:id="rId5"/>
    <sheet xmlns:r="http://schemas.openxmlformats.org/officeDocument/2006/relationships" name="Cronograma 18 meses" sheetId="6" state="visible" r:id="rId6"/>
  </sheets>
  <definedNames>
    <definedName name="_xlnm._FilterDatabase" localSheetId="0" hidden="1">'Resumo'!$A$1:$G$4</definedName>
    <definedName name="_xlnm._FilterDatabase" localSheetId="1" hidden="1">'Detalhamento'!$A$1:$J$67</definedName>
    <definedName name="_xlnm._FilterDatabase" localSheetId="2" hidden="1">'Contingências'!$A$1:$D$10</definedName>
    <definedName name="_xlnm._FilterDatabase" localSheetId="3" hidden="1">'Plano de reserva'!$A$1:$C$15</definedName>
    <definedName name="_xlnm._FilterDatabase" localSheetId="4" hidden="1">'Plano de compras'!$A$1:$D$8</definedName>
    <definedName name="_xlnm._FilterDatabase" localSheetId="5" hidden="1">'Cronograma 18 meses'!$A$1:$G$19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8945E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54B45"/>
      </patternFill>
    </fill>
    <fill>
      <patternFill patternType="solid">
        <fgColor rgb="0024312F"/>
      </patternFill>
    </fill>
    <fill>
      <patternFill patternType="solid">
        <fgColor rgb="00F5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164" fontId="0" fillId="2" borderId="0" pivotButton="0" quotePrefix="0" xfId="0"/>
    <xf numFmtId="0" fontId="1" fillId="4" borderId="0" applyAlignment="1" pivotButton="0" quotePrefix="0" xfId="0">
      <alignment horizontal="center"/>
    </xf>
    <xf numFmtId="0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165" fontId="0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4" customWidth="1" min="4" max="4"/>
    <col width="17" customWidth="1" min="5" max="5"/>
    <col width="13" customWidth="1" min="6" max="6"/>
    <col width="24" customWidth="1" min="7" max="7"/>
  </cols>
  <sheetData>
    <row r="1">
      <c r="A1" s="1" t="inlineStr">
        <is>
          <t>Cenário</t>
        </is>
      </c>
      <c r="B1" s="1" t="inlineStr">
        <is>
          <t>Base sem capital de giro</t>
        </is>
      </c>
      <c r="C1" s="1" t="inlineStr">
        <is>
          <t>Reajuste 5%</t>
        </is>
      </c>
      <c r="D1" s="1" t="inlineStr">
        <is>
          <t>Contingência</t>
        </is>
      </c>
      <c r="E1" s="1" t="inlineStr">
        <is>
          <t>Capital de giro</t>
        </is>
      </c>
      <c r="F1" s="1" t="inlineStr">
        <is>
          <t>Total geral</t>
        </is>
      </c>
      <c r="G1" s="1" t="inlineStr">
        <is>
          <t>Reserva mensal 8 meses</t>
        </is>
      </c>
    </row>
    <row r="2">
      <c r="A2" t="inlineStr">
        <is>
          <t>Essencial</t>
        </is>
      </c>
      <c r="B2" s="2" t="n">
        <v>319790</v>
      </c>
      <c r="C2" s="2" t="n">
        <v>15989.5</v>
      </c>
      <c r="D2" s="2" t="n">
        <v>58008.3</v>
      </c>
      <c r="E2" s="2" t="n">
        <v>30000</v>
      </c>
      <c r="F2" s="2" t="n">
        <v>423787.8</v>
      </c>
      <c r="G2" s="2" t="n">
        <v>52973.47</v>
      </c>
    </row>
    <row r="3">
      <c r="A3" t="inlineStr">
        <is>
          <t>Recomendado</t>
        </is>
      </c>
      <c r="B3" s="2" t="n">
        <v>555889</v>
      </c>
      <c r="C3" s="2" t="n">
        <v>27794.45</v>
      </c>
      <c r="D3" s="2" t="n">
        <v>112318.35</v>
      </c>
      <c r="E3" s="2" t="n">
        <v>60000</v>
      </c>
      <c r="F3" s="2" t="n">
        <v>756001.8</v>
      </c>
      <c r="G3" s="2" t="n">
        <v>94500.22</v>
      </c>
    </row>
    <row r="4">
      <c r="A4" t="inlineStr">
        <is>
          <t>Premium</t>
        </is>
      </c>
      <c r="B4" s="2" t="n">
        <v>987210</v>
      </c>
      <c r="C4" s="2" t="n">
        <v>49360.5</v>
      </c>
      <c r="D4" s="2" t="n">
        <v>224115.8</v>
      </c>
      <c r="E4" s="2" t="n">
        <v>90000</v>
      </c>
      <c r="F4" s="2" t="n">
        <v>1350686.3</v>
      </c>
      <c r="G4" s="2" t="n">
        <v>168835.79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60" customWidth="1" min="3" max="3"/>
    <col width="9" customWidth="1" min="4" max="4"/>
    <col width="12" customWidth="1" min="5" max="5"/>
    <col width="11" customWidth="1" min="6" max="6"/>
    <col width="13" customWidth="1" min="7" max="7"/>
    <col width="9" customWidth="1" min="8" max="8"/>
    <col width="19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Unidade</t>
        </is>
      </c>
      <c r="E1" s="1" t="inlineStr">
        <is>
          <t>Quantidade</t>
        </is>
      </c>
      <c r="F1" s="1" t="inlineStr">
        <is>
          <t>Essencial</t>
        </is>
      </c>
      <c r="G1" s="1" t="inlineStr">
        <is>
          <t>Recomendado</t>
        </is>
      </c>
      <c r="H1" s="1" t="inlineStr">
        <is>
          <t>Premium</t>
        </is>
      </c>
      <c r="I1" s="1" t="inlineStr">
        <is>
          <t>Fase</t>
        </is>
      </c>
      <c r="J1" s="1" t="inlineStr">
        <is>
          <t>Observação</t>
        </is>
      </c>
    </row>
    <row r="2">
      <c r="A2" t="n">
        <v>1</v>
      </c>
      <c r="B2" t="inlineStr">
        <is>
          <t>Projetos e licenças</t>
        </is>
      </c>
      <c r="C2" t="inlineStr">
        <is>
          <t>Levantamento topográfico/cadastral e sondagem simplificada</t>
        </is>
      </c>
      <c r="D2" t="inlineStr">
        <is>
          <t>vb</t>
        </is>
      </c>
      <c r="E2" t="n">
        <v>1</v>
      </c>
      <c r="F2" s="2" t="n">
        <v>3500</v>
      </c>
      <c r="G2" s="2" t="n">
        <v>6000</v>
      </c>
      <c r="H2" s="2" t="n">
        <v>9000</v>
      </c>
      <c r="I2" t="inlineStr">
        <is>
          <t>Antes da obra</t>
        </is>
      </c>
      <c r="J2" t="inlineStr">
        <is>
          <t>Atualizar após cidade e terreno.</t>
        </is>
      </c>
    </row>
    <row r="3">
      <c r="A3" t="n">
        <v>2</v>
      </c>
      <c r="B3" t="inlineStr">
        <is>
          <t>Projetos e licenças</t>
        </is>
      </c>
      <c r="C3" t="inlineStr">
        <is>
          <t>Projeto arquitetônico legal e executivo</t>
        </is>
      </c>
      <c r="D3" t="inlineStr">
        <is>
          <t>vb</t>
        </is>
      </c>
      <c r="E3" t="n">
        <v>1</v>
      </c>
      <c r="F3" s="2" t="n">
        <v>12000</v>
      </c>
      <c r="G3" s="2" t="n">
        <v>22000</v>
      </c>
      <c r="H3" s="2" t="n">
        <v>35000</v>
      </c>
      <c r="I3" t="inlineStr">
        <is>
          <t>Antes da obra</t>
        </is>
      </c>
      <c r="J3" t="inlineStr">
        <is>
          <t>Contratar arquiteto local com RRT.</t>
        </is>
      </c>
    </row>
    <row r="4">
      <c r="A4" t="n">
        <v>3</v>
      </c>
      <c r="B4" t="inlineStr">
        <is>
          <t>Projetos e licenças</t>
        </is>
      </c>
      <c r="C4" t="inlineStr">
        <is>
          <t>Projetos estrutural, elétrico, hidráulico, climatização e prevenção</t>
        </is>
      </c>
      <c r="D4" t="inlineStr">
        <is>
          <t>vb</t>
        </is>
      </c>
      <c r="E4" t="n">
        <v>1</v>
      </c>
      <c r="F4" s="2" t="n">
        <v>8000</v>
      </c>
      <c r="G4" s="2" t="n">
        <v>15000</v>
      </c>
      <c r="H4" s="2" t="n">
        <v>25000</v>
      </c>
      <c r="I4" t="inlineStr">
        <is>
          <t>Antes da obra</t>
        </is>
      </c>
      <c r="J4" t="inlineStr">
        <is>
          <t>Responsáveis com ART/RRT.</t>
        </is>
      </c>
    </row>
    <row r="5">
      <c r="A5" t="n">
        <v>4</v>
      </c>
      <c r="B5" t="inlineStr">
        <is>
          <t>Projetos e licenças</t>
        </is>
      </c>
      <c r="C5" t="inlineStr">
        <is>
          <t>Aprovação sanitária, prefeitura, bombeiros e taxas</t>
        </is>
      </c>
      <c r="D5" t="inlineStr">
        <is>
          <t>vb</t>
        </is>
      </c>
      <c r="E5" t="n">
        <v>1</v>
      </c>
      <c r="F5" s="2" t="n">
        <v>3000</v>
      </c>
      <c r="G5" s="2" t="n">
        <v>7000</v>
      </c>
      <c r="H5" s="2" t="n">
        <v>12000</v>
      </c>
      <c r="I5" t="inlineStr">
        <is>
          <t>Antes da obra</t>
        </is>
      </c>
      <c r="J5" t="inlineStr">
        <is>
          <t>Varia por município e estado.</t>
        </is>
      </c>
    </row>
    <row r="6">
      <c r="A6" t="n">
        <v>5</v>
      </c>
      <c r="B6" t="inlineStr">
        <is>
          <t>Projetos e licenças</t>
        </is>
      </c>
      <c r="C6" t="inlineStr">
        <is>
          <t>PGRSS, POPs, documentação técnica e implantação LGPD</t>
        </is>
      </c>
      <c r="D6" t="inlineStr">
        <is>
          <t>vb</t>
        </is>
      </c>
      <c r="E6" t="n">
        <v>1</v>
      </c>
      <c r="F6" s="2" t="n">
        <v>2500</v>
      </c>
      <c r="G6" s="2" t="n">
        <v>5000</v>
      </c>
      <c r="H6" s="2" t="n">
        <v>8000</v>
      </c>
      <c r="I6" t="inlineStr">
        <is>
          <t>Pré-operação</t>
        </is>
      </c>
      <c r="J6" t="inlineStr">
        <is>
          <t>Escopo final pelo RT.</t>
        </is>
      </c>
    </row>
    <row r="7">
      <c r="A7" t="n">
        <v>6</v>
      </c>
      <c r="B7" t="inlineStr">
        <is>
          <t>Projetos e licenças</t>
        </is>
      </c>
      <c r="C7" t="inlineStr">
        <is>
          <t>Abertura, contabilidade, contratos e seguros iniciais</t>
        </is>
      </c>
      <c r="D7" t="inlineStr">
        <is>
          <t>vb</t>
        </is>
      </c>
      <c r="E7" t="n">
        <v>1</v>
      </c>
      <c r="F7" s="2" t="n">
        <v>3500</v>
      </c>
      <c r="G7" s="2" t="n">
        <v>7000</v>
      </c>
      <c r="H7" s="2" t="n">
        <v>12000</v>
      </c>
      <c r="I7" t="inlineStr">
        <is>
          <t>Pré-operação</t>
        </is>
      </c>
      <c r="J7" t="inlineStr">
        <is>
          <t>Não inclui tributos mensais.</t>
        </is>
      </c>
    </row>
    <row r="8">
      <c r="A8" t="n">
        <v>7</v>
      </c>
      <c r="B8" t="inlineStr">
        <is>
          <t>Projetos e licenças</t>
        </is>
      </c>
      <c r="C8" t="inlineStr">
        <is>
          <t>Cursos complementares e treinamento de equipamentos</t>
        </is>
      </c>
      <c r="D8" t="inlineStr">
        <is>
          <t>vb</t>
        </is>
      </c>
      <c r="E8" t="n">
        <v>1</v>
      </c>
      <c r="F8" s="2" t="n">
        <v>5000</v>
      </c>
      <c r="G8" s="2" t="n">
        <v>10000</v>
      </c>
      <c r="H8" s="2" t="n">
        <v>20000</v>
      </c>
      <c r="I8" t="inlineStr">
        <is>
          <t>2026–2027</t>
        </is>
      </c>
      <c r="J8" t="inlineStr">
        <is>
          <t>Além da especialização já em curso.</t>
        </is>
      </c>
    </row>
    <row r="9">
      <c r="A9" t="n">
        <v>8</v>
      </c>
      <c r="B9" t="inlineStr">
        <is>
          <t>Construção 60 m²</t>
        </is>
      </c>
      <c r="C9" t="inlineStr">
        <is>
          <t>Canteiro, proteção da casa e instalações provisórias</t>
        </is>
      </c>
      <c r="D9" t="inlineStr">
        <is>
          <t>vb</t>
        </is>
      </c>
      <c r="E9" t="n">
        <v>1</v>
      </c>
      <c r="F9" s="2" t="n">
        <v>6000</v>
      </c>
      <c r="G9" s="2" t="n">
        <v>9000</v>
      </c>
      <c r="H9" s="2" t="n">
        <v>14000</v>
      </c>
      <c r="I9" t="inlineStr">
        <is>
          <t>Obra</t>
        </is>
      </c>
      <c r="J9" t="inlineStr">
        <is>
          <t>Inclui isolamento e controle de poeira.</t>
        </is>
      </c>
    </row>
    <row r="10">
      <c r="A10" t="n">
        <v>9</v>
      </c>
      <c r="B10" t="inlineStr">
        <is>
          <t>Construção 60 m²</t>
        </is>
      </c>
      <c r="C10" t="inlineStr">
        <is>
          <t>Movimento de terra, fundações e impermeabilização de base</t>
        </is>
      </c>
      <c r="D10" t="inlineStr">
        <is>
          <t>vb</t>
        </is>
      </c>
      <c r="E10" t="n">
        <v>1</v>
      </c>
      <c r="F10" s="2" t="n">
        <v>26000</v>
      </c>
      <c r="G10" s="2" t="n">
        <v>38000</v>
      </c>
      <c r="H10" s="2" t="n">
        <v>55000</v>
      </c>
      <c r="I10" t="inlineStr">
        <is>
          <t>Obra</t>
        </is>
      </c>
      <c r="J10" t="inlineStr">
        <is>
          <t>Alto risco até sondagem e níveis reais.</t>
        </is>
      </c>
    </row>
    <row r="11">
      <c r="A11" t="n">
        <v>10</v>
      </c>
      <c r="B11" t="inlineStr">
        <is>
          <t>Construção 60 m²</t>
        </is>
      </c>
      <c r="C11" t="inlineStr">
        <is>
          <t>Estrutura, lajes/vergas e alvenarias</t>
        </is>
      </c>
      <c r="D11" t="inlineStr">
        <is>
          <t>vb</t>
        </is>
      </c>
      <c r="E11" t="n">
        <v>1</v>
      </c>
      <c r="F11" s="2" t="n">
        <v>42000</v>
      </c>
      <c r="G11" s="2" t="n">
        <v>58000</v>
      </c>
      <c r="H11" s="2" t="n">
        <v>78000</v>
      </c>
      <c r="I11" t="inlineStr">
        <is>
          <t>Obra</t>
        </is>
      </c>
      <c r="J11" t="inlineStr">
        <is>
          <t>Módulo 6 × 10 m.</t>
        </is>
      </c>
    </row>
    <row r="12">
      <c r="A12" t="n">
        <v>11</v>
      </c>
      <c r="B12" t="inlineStr">
        <is>
          <t>Construção 60 m²</t>
        </is>
      </c>
      <c r="C12" t="inlineStr">
        <is>
          <t>Cobertura, calhas, rufos e impermeabilização</t>
        </is>
      </c>
      <c r="D12" t="inlineStr">
        <is>
          <t>vb</t>
        </is>
      </c>
      <c r="E12" t="n">
        <v>1</v>
      </c>
      <c r="F12" s="2" t="n">
        <v>18000</v>
      </c>
      <c r="G12" s="2" t="n">
        <v>26000</v>
      </c>
      <c r="H12" s="2" t="n">
        <v>38000</v>
      </c>
      <c r="I12" t="inlineStr">
        <is>
          <t>Obra</t>
        </is>
      </c>
      <c r="J12" t="inlineStr">
        <is>
          <t>Destino pluvial depende do lote.</t>
        </is>
      </c>
    </row>
    <row r="13">
      <c r="A13" t="n">
        <v>12</v>
      </c>
      <c r="B13" t="inlineStr">
        <is>
          <t>Construção 60 m²</t>
        </is>
      </c>
      <c r="C13" t="inlineStr">
        <is>
          <t>Revestimentos de paredes e preparação de superfícies</t>
        </is>
      </c>
      <c r="D13" t="inlineStr">
        <is>
          <t>vb</t>
        </is>
      </c>
      <c r="E13" t="n">
        <v>1</v>
      </c>
      <c r="F13" s="2" t="n">
        <v>12000</v>
      </c>
      <c r="G13" s="2" t="n">
        <v>18000</v>
      </c>
      <c r="H13" s="2" t="n">
        <v>26000</v>
      </c>
      <c r="I13" t="inlineStr">
        <is>
          <t>Obra</t>
        </is>
      </c>
      <c r="J13" t="inlineStr">
        <is>
          <t>Superfícies lisas, íntegras e laváveis.</t>
        </is>
      </c>
    </row>
    <row r="14">
      <c r="A14" t="n">
        <v>13</v>
      </c>
      <c r="B14" t="inlineStr">
        <is>
          <t>Construção 60 m²</t>
        </is>
      </c>
      <c r="C14" t="inlineStr">
        <is>
          <t>Pisos, rodapés e revestimentos molhados</t>
        </is>
      </c>
      <c r="D14" t="inlineStr">
        <is>
          <t>m²</t>
        </is>
      </c>
      <c r="E14" t="n">
        <v>60</v>
      </c>
      <c r="F14" s="2" t="n">
        <v>18000</v>
      </c>
      <c r="G14" s="2" t="n">
        <v>30000</v>
      </c>
      <c r="H14" s="2" t="n">
        <v>48000</v>
      </c>
      <c r="I14" t="inlineStr">
        <is>
          <t>Obra</t>
        </is>
      </c>
      <c r="J14" t="inlineStr">
        <is>
          <t>Total instalado; inclui perdas e soleiras.</t>
        </is>
      </c>
    </row>
    <row r="15">
      <c r="A15" t="n">
        <v>14</v>
      </c>
      <c r="B15" t="inlineStr">
        <is>
          <t>Construção 60 m²</t>
        </is>
      </c>
      <c r="C15" t="inlineStr">
        <is>
          <t>Portas, janelas, ferragens e vidros</t>
        </is>
      </c>
      <c r="D15" t="inlineStr">
        <is>
          <t>vb</t>
        </is>
      </c>
      <c r="E15" t="n">
        <v>1</v>
      </c>
      <c r="F15" s="2" t="n">
        <v>12000</v>
      </c>
      <c r="G15" s="2" t="n">
        <v>22000</v>
      </c>
      <c r="H15" s="2" t="n">
        <v>36000</v>
      </c>
      <c r="I15" t="inlineStr">
        <is>
          <t>Obra</t>
        </is>
      </c>
      <c r="J15" t="inlineStr">
        <is>
          <t>Conferir esquadrias J01–J07 e P01–P07.</t>
        </is>
      </c>
    </row>
    <row r="16">
      <c r="A16" t="n">
        <v>15</v>
      </c>
      <c r="B16" t="inlineStr">
        <is>
          <t>Construção 60 m²</t>
        </is>
      </c>
      <c r="C16" t="inlineStr">
        <is>
          <t>Forros, pintura e acabamentos finais</t>
        </is>
      </c>
      <c r="D16" t="inlineStr">
        <is>
          <t>vb</t>
        </is>
      </c>
      <c r="E16" t="n">
        <v>1</v>
      </c>
      <c r="F16" s="2" t="n">
        <v>14000</v>
      </c>
      <c r="G16" s="2" t="n">
        <v>22000</v>
      </c>
      <c r="H16" s="2" t="n">
        <v>34000</v>
      </c>
      <c r="I16" t="inlineStr">
        <is>
          <t>Obra</t>
        </is>
      </c>
      <c r="J16" t="inlineStr">
        <is>
          <t>Tintas laváveis de baixo odor.</t>
        </is>
      </c>
    </row>
    <row r="17">
      <c r="A17" t="n">
        <v>16</v>
      </c>
      <c r="B17" t="inlineStr">
        <is>
          <t>Construção 60 m²</t>
        </is>
      </c>
      <c r="C17" t="inlineStr">
        <is>
          <t>Instalações hidráulicas, esgoto, louças e metais</t>
        </is>
      </c>
      <c r="D17" t="inlineStr">
        <is>
          <t>vb</t>
        </is>
      </c>
      <c r="E17" t="n">
        <v>1</v>
      </c>
      <c r="F17" s="2" t="n">
        <v>14000</v>
      </c>
      <c r="G17" s="2" t="n">
        <v>22000</v>
      </c>
      <c r="H17" s="2" t="n">
        <v>35000</v>
      </c>
      <c r="I17" t="inlineStr">
        <is>
          <t>Obra</t>
        </is>
      </c>
      <c r="J17" t="inlineStr">
        <is>
          <t>Inclui pontos clínicos e área técnica.</t>
        </is>
      </c>
    </row>
    <row r="18">
      <c r="A18" t="n">
        <v>17</v>
      </c>
      <c r="B18" t="inlineStr">
        <is>
          <t>Construção 60 m²</t>
        </is>
      </c>
      <c r="C18" t="inlineStr">
        <is>
          <t>Instalações elétricas, quadros, dados e aterramento</t>
        </is>
      </c>
      <c r="D18" t="inlineStr">
        <is>
          <t>vb</t>
        </is>
      </c>
      <c r="E18" t="n">
        <v>1</v>
      </c>
      <c r="F18" s="2" t="n">
        <v>16000</v>
      </c>
      <c r="G18" s="2" t="n">
        <v>26000</v>
      </c>
      <c r="H18" s="2" t="n">
        <v>40000</v>
      </c>
      <c r="I18" t="inlineStr">
        <is>
          <t>Obra</t>
        </is>
      </c>
      <c r="J18" t="inlineStr">
        <is>
          <t>Dimensionar cargas reais dos equipamentos.</t>
        </is>
      </c>
    </row>
    <row r="19">
      <c r="A19" t="n">
        <v>18</v>
      </c>
      <c r="B19" t="inlineStr">
        <is>
          <t>Construção 60 m²</t>
        </is>
      </c>
      <c r="C19" t="inlineStr">
        <is>
          <t>Climatização, renovação/exaustão e drenos</t>
        </is>
      </c>
      <c r="D19" t="inlineStr">
        <is>
          <t>vb</t>
        </is>
      </c>
      <c r="E19" t="n">
        <v>1</v>
      </c>
      <c r="F19" s="2" t="n">
        <v>12000</v>
      </c>
      <c r="G19" s="2" t="n">
        <v>18000</v>
      </c>
      <c r="H19" s="2" t="n">
        <v>28000</v>
      </c>
      <c r="I19" t="inlineStr">
        <is>
          <t>Obra</t>
        </is>
      </c>
      <c r="J19" t="inlineStr">
        <is>
          <t>Projeto específico e equipamentos eficientes.</t>
        </is>
      </c>
    </row>
    <row r="20">
      <c r="A20" t="n">
        <v>19</v>
      </c>
      <c r="B20" t="inlineStr">
        <is>
          <t>Construção 60 m²</t>
        </is>
      </c>
      <c r="C20" t="inlineStr">
        <is>
          <t>Sanitário acessível completo</t>
        </is>
      </c>
      <c r="D20" t="inlineStr">
        <is>
          <t>vb</t>
        </is>
      </c>
      <c r="E20" t="n">
        <v>1</v>
      </c>
      <c r="F20" s="2" t="n">
        <v>7000</v>
      </c>
      <c r="G20" s="2" t="n">
        <v>12000</v>
      </c>
      <c r="H20" s="2" t="n">
        <v>20000</v>
      </c>
      <c r="I20" t="inlineStr">
        <is>
          <t>Obra</t>
        </is>
      </c>
      <c r="J20" t="inlineStr">
        <is>
          <t>Inclui barras, reforços e acessórios.</t>
        </is>
      </c>
    </row>
    <row r="21">
      <c r="A21" t="n">
        <v>20</v>
      </c>
      <c r="B21" t="inlineStr">
        <is>
          <t>Construção 60 m²</t>
        </is>
      </c>
      <c r="C21" t="inlineStr">
        <is>
          <t>Segurança, emergência e sinalização técnica</t>
        </is>
      </c>
      <c r="D21" t="inlineStr">
        <is>
          <t>vb</t>
        </is>
      </c>
      <c r="E21" t="n">
        <v>1</v>
      </c>
      <c r="F21" s="2" t="n">
        <v>2500</v>
      </c>
      <c r="G21" s="2" t="n">
        <v>5000</v>
      </c>
      <c r="H21" s="2" t="n">
        <v>9000</v>
      </c>
      <c r="I21" t="inlineStr">
        <is>
          <t>Obra</t>
        </is>
      </c>
      <c r="J21" t="inlineStr">
        <is>
          <t>Validar com Bombeiros.</t>
        </is>
      </c>
    </row>
    <row r="22">
      <c r="A22" t="n">
        <v>21</v>
      </c>
      <c r="B22" t="inlineStr">
        <is>
          <t>Construção 60 m²</t>
        </is>
      </c>
      <c r="C22" t="inlineStr">
        <is>
          <t>Testes, comissionamento, as built e limpeza pós-obra</t>
        </is>
      </c>
      <c r="D22" t="inlineStr">
        <is>
          <t>vb</t>
        </is>
      </c>
      <c r="E22" t="n">
        <v>1</v>
      </c>
      <c r="F22" s="2" t="n">
        <v>2500</v>
      </c>
      <c r="G22" s="2" t="n">
        <v>4500</v>
      </c>
      <c r="H22" s="2" t="n">
        <v>7000</v>
      </c>
      <c r="I22" t="inlineStr">
        <is>
          <t>Entrega</t>
        </is>
      </c>
      <c r="J22" t="inlineStr">
        <is>
          <t>Condicionar pagamento final aos testes.</t>
        </is>
      </c>
    </row>
    <row r="23">
      <c r="A23" t="n">
        <v>22</v>
      </c>
      <c r="B23" t="inlineStr">
        <is>
          <t>Área externa 30 m²</t>
        </is>
      </c>
      <c r="C23" t="inlineStr">
        <is>
          <t>Escavação, regularização e retirada de material</t>
        </is>
      </c>
      <c r="D23" t="inlineStr">
        <is>
          <t>vb</t>
        </is>
      </c>
      <c r="E23" t="n">
        <v>1</v>
      </c>
      <c r="F23" s="2" t="n">
        <v>3000</v>
      </c>
      <c r="G23" s="2" t="n">
        <v>5000</v>
      </c>
      <c r="H23" s="2" t="n">
        <v>8000</v>
      </c>
      <c r="I23" t="inlineStr">
        <is>
          <t>Obra</t>
        </is>
      </c>
      <c r="J23" t="inlineStr">
        <is>
          <t>Ajustar aos níveis reais.</t>
        </is>
      </c>
    </row>
    <row r="24">
      <c r="A24" t="n">
        <v>23</v>
      </c>
      <c r="B24" t="inlineStr">
        <is>
          <t>Área externa 30 m²</t>
        </is>
      </c>
      <c r="C24" t="inlineStr">
        <is>
          <t>Base granular drenante e geotêxtil</t>
        </is>
      </c>
      <c r="D24" t="inlineStr">
        <is>
          <t>vb</t>
        </is>
      </c>
      <c r="E24" t="n">
        <v>1</v>
      </c>
      <c r="F24" s="2" t="n">
        <v>3000</v>
      </c>
      <c r="G24" s="2" t="n">
        <v>5500</v>
      </c>
      <c r="H24" s="2" t="n">
        <v>8000</v>
      </c>
      <c r="I24" t="inlineStr">
        <is>
          <t>Obra</t>
        </is>
      </c>
      <c r="J24" t="inlineStr">
        <is>
          <t>Conforme prancha D-01.</t>
        </is>
      </c>
    </row>
    <row r="25">
      <c r="A25" t="n">
        <v>24</v>
      </c>
      <c r="B25" t="inlineStr">
        <is>
          <t>Área externa 30 m²</t>
        </is>
      </c>
      <c r="C25" t="inlineStr">
        <is>
          <t>Dreno linear, tubos e caixas de inspeção</t>
        </is>
      </c>
      <c r="D25" t="inlineStr">
        <is>
          <t>vb</t>
        </is>
      </c>
      <c r="E25" t="n">
        <v>1</v>
      </c>
      <c r="F25" s="2" t="n">
        <v>3500</v>
      </c>
      <c r="G25" s="2" t="n">
        <v>6500</v>
      </c>
      <c r="H25" s="2" t="n">
        <v>10000</v>
      </c>
      <c r="I25" t="inlineStr">
        <is>
          <t>Obra</t>
        </is>
      </c>
      <c r="J25" t="inlineStr">
        <is>
          <t>Destino legal a confirmar.</t>
        </is>
      </c>
    </row>
    <row r="26">
      <c r="A26" t="n">
        <v>25</v>
      </c>
      <c r="B26" t="inlineStr">
        <is>
          <t>Área externa 30 m²</t>
        </is>
      </c>
      <c r="C26" t="inlineStr">
        <is>
          <t>Rota acessível em piso permeável antiderrapante</t>
        </is>
      </c>
      <c r="D26" t="inlineStr">
        <is>
          <t>m²</t>
        </is>
      </c>
      <c r="E26" t="n">
        <v>12.96</v>
      </c>
      <c r="F26" s="2" t="n">
        <v>2500</v>
      </c>
      <c r="G26" s="2" t="n">
        <v>4500</v>
      </c>
      <c r="H26" s="2" t="n">
        <v>7000</v>
      </c>
      <c r="I26" t="inlineStr">
        <is>
          <t>Obra</t>
        </is>
      </c>
      <c r="J26" t="inlineStr">
        <is>
          <t>Inclui 8% de perdas.</t>
        </is>
      </c>
    </row>
    <row r="27">
      <c r="A27" t="n">
        <v>26</v>
      </c>
      <c r="B27" t="inlineStr">
        <is>
          <t>Área externa 30 m²</t>
        </is>
      </c>
      <c r="C27" t="inlineStr">
        <is>
          <t>Grama sintética permeável 30–35 mm instalada</t>
        </is>
      </c>
      <c r="D27" t="inlineStr">
        <is>
          <t>m²</t>
        </is>
      </c>
      <c r="E27" t="n">
        <v>19.44</v>
      </c>
      <c r="F27" s="2" t="n">
        <v>2000</v>
      </c>
      <c r="G27" s="2" t="n">
        <v>3500</v>
      </c>
      <c r="H27" s="2" t="n">
        <v>5500</v>
      </c>
      <c r="I27" t="inlineStr">
        <is>
          <t>Obra</t>
        </is>
      </c>
      <c r="J27" t="inlineStr">
        <is>
          <t>Exigir vazão, UV e garantia.</t>
        </is>
      </c>
    </row>
    <row r="28">
      <c r="A28" t="n">
        <v>27</v>
      </c>
      <c r="B28" t="inlineStr">
        <is>
          <t>Área externa 30 m²</t>
        </is>
      </c>
      <c r="C28" t="inlineStr">
        <is>
          <t>Bordas, contenções e acabamentos</t>
        </is>
      </c>
      <c r="D28" t="inlineStr">
        <is>
          <t>vb</t>
        </is>
      </c>
      <c r="E28" t="n">
        <v>1</v>
      </c>
      <c r="F28" s="2" t="n">
        <v>1500</v>
      </c>
      <c r="G28" s="2" t="n">
        <v>2500</v>
      </c>
      <c r="H28" s="2" t="n">
        <v>4000</v>
      </c>
      <c r="I28" t="inlineStr">
        <is>
          <t>Obra</t>
        </is>
      </c>
      <c r="J28" t="inlineStr">
        <is>
          <t>Evitar degraus e aprisionamento de água.</t>
        </is>
      </c>
    </row>
    <row r="29">
      <c r="A29" t="n">
        <v>28</v>
      </c>
      <c r="B29" t="inlineStr">
        <is>
          <t>Área externa 30 m²</t>
        </is>
      </c>
      <c r="C29" t="inlineStr">
        <is>
          <t>Iluminação externa e paisagismo de baixa manutenção</t>
        </is>
      </c>
      <c r="D29" t="inlineStr">
        <is>
          <t>vb</t>
        </is>
      </c>
      <c r="E29" t="n">
        <v>1</v>
      </c>
      <c r="F29" s="2" t="n">
        <v>1500</v>
      </c>
      <c r="G29" s="2" t="n">
        <v>3500</v>
      </c>
      <c r="H29" s="2" t="n">
        <v>7000</v>
      </c>
      <c r="I29" t="inlineStr">
        <is>
          <t>Final</t>
        </is>
      </c>
      <c r="J29" t="inlineStr">
        <is>
          <t>Sem bloquear drenagem.</t>
        </is>
      </c>
    </row>
    <row r="30">
      <c r="A30" t="n">
        <v>29</v>
      </c>
      <c r="B30" t="inlineStr">
        <is>
          <t>Área externa 30 m²</t>
        </is>
      </c>
      <c r="C30" t="inlineStr">
        <is>
          <t>Mão de obra especializada e testes de drenagem</t>
        </is>
      </c>
      <c r="D30" t="inlineStr">
        <is>
          <t>vb</t>
        </is>
      </c>
      <c r="E30" t="n">
        <v>1</v>
      </c>
      <c r="F30" s="2" t="n">
        <v>5000</v>
      </c>
      <c r="G30" s="2" t="n">
        <v>8000</v>
      </c>
      <c r="H30" s="2" t="n">
        <v>12000</v>
      </c>
      <c r="I30" t="inlineStr">
        <is>
          <t>Obra</t>
        </is>
      </c>
      <c r="J30" t="inlineStr">
        <is>
          <t>Teste de chuva antes do aceite.</t>
        </is>
      </c>
    </row>
    <row r="31">
      <c r="A31" t="n">
        <v>30</v>
      </c>
      <c r="B31" t="inlineStr">
        <is>
          <t>Mobiliário e interiores</t>
        </is>
      </c>
      <c r="C31" t="inlineStr">
        <is>
          <t>Marcenaria clínica e área técnica</t>
        </is>
      </c>
      <c r="D31" t="inlineStr">
        <is>
          <t>vb</t>
        </is>
      </c>
      <c r="E31" t="n">
        <v>1</v>
      </c>
      <c r="F31" s="2" t="n">
        <v>12000</v>
      </c>
      <c r="G31" s="2" t="n">
        <v>22000</v>
      </c>
      <c r="H31" s="2" t="n">
        <v>35000</v>
      </c>
      <c r="I31" t="inlineStr">
        <is>
          <t>Obra</t>
        </is>
      </c>
      <c r="J31" t="inlineStr">
        <is>
          <t>Armários fechados, bancada, cuba e estoque.</t>
        </is>
      </c>
    </row>
    <row r="32">
      <c r="A32" t="n">
        <v>31</v>
      </c>
      <c r="B32" t="inlineStr">
        <is>
          <t>Mobiliário e interiores</t>
        </is>
      </c>
      <c r="C32" t="inlineStr">
        <is>
          <t>Maca elétrica 2 motores</t>
        </is>
      </c>
      <c r="D32" t="inlineStr">
        <is>
          <t>un</t>
        </is>
      </c>
      <c r="E32" t="n">
        <v>1</v>
      </c>
      <c r="F32" s="2" t="n">
        <v>3500</v>
      </c>
      <c r="G32" s="2" t="n">
        <v>5500</v>
      </c>
      <c r="H32" s="2" t="n">
        <v>7000</v>
      </c>
      <c r="I32" t="inlineStr">
        <is>
          <t>Fase 1</t>
        </is>
      </c>
      <c r="J32" t="inlineStr">
        <is>
          <t>Capacidade e garantia por escrito.</t>
        </is>
      </c>
    </row>
    <row r="33">
      <c r="A33" t="n">
        <v>32</v>
      </c>
      <c r="B33" t="inlineStr">
        <is>
          <t>Mobiliário e interiores</t>
        </is>
      </c>
      <c r="C33" t="inlineStr">
        <is>
          <t>Mocho sela ergonômico</t>
        </is>
      </c>
      <c r="D33" t="inlineStr">
        <is>
          <t>un</t>
        </is>
      </c>
      <c r="E33" t="n">
        <v>2</v>
      </c>
      <c r="F33" s="2" t="n">
        <v>800</v>
      </c>
      <c r="G33" s="2" t="n">
        <v>1200</v>
      </c>
      <c r="H33" s="2" t="n">
        <v>1700</v>
      </c>
      <c r="I33" t="inlineStr">
        <is>
          <t>Fase 1</t>
        </is>
      </c>
      <c r="J33" t="inlineStr">
        <is>
          <t>Dois profissionais/apoios.</t>
        </is>
      </c>
    </row>
    <row r="34">
      <c r="A34" t="n">
        <v>33</v>
      </c>
      <c r="B34" t="inlineStr">
        <is>
          <t>Mobiliário e interiores</t>
        </is>
      </c>
      <c r="C34" t="inlineStr">
        <is>
          <t>Carrinhos auxiliares</t>
        </is>
      </c>
      <c r="D34" t="inlineStr">
        <is>
          <t>un</t>
        </is>
      </c>
      <c r="E34" t="n">
        <v>2</v>
      </c>
      <c r="F34" s="2" t="n">
        <v>800</v>
      </c>
      <c r="G34" s="2" t="n">
        <v>1200</v>
      </c>
      <c r="H34" s="2" t="n">
        <v>1800</v>
      </c>
      <c r="I34" t="inlineStr">
        <is>
          <t>Fase 1</t>
        </is>
      </c>
      <c r="J34" t="inlineStr">
        <is>
          <t>Separar material limpo.</t>
        </is>
      </c>
    </row>
    <row r="35">
      <c r="A35" t="n">
        <v>34</v>
      </c>
      <c r="B35" t="inlineStr">
        <is>
          <t>Mobiliário e interiores</t>
        </is>
      </c>
      <c r="C35" t="inlineStr">
        <is>
          <t>Lupa luminária</t>
        </is>
      </c>
      <c r="D35" t="inlineStr">
        <is>
          <t>un</t>
        </is>
      </c>
      <c r="E35" t="n">
        <v>1</v>
      </c>
      <c r="F35" s="2" t="n">
        <v>350</v>
      </c>
      <c r="G35" s="2" t="n">
        <v>600</v>
      </c>
      <c r="H35" s="2" t="n">
        <v>800</v>
      </c>
      <c r="I35" t="inlineStr">
        <is>
          <t>Fase 1</t>
        </is>
      </c>
      <c r="J35" t="inlineStr">
        <is>
          <t>Base estável e lavável.</t>
        </is>
      </c>
    </row>
    <row r="36">
      <c r="A36" t="n">
        <v>35</v>
      </c>
      <c r="B36" t="inlineStr">
        <is>
          <t>Mobiliário e interiores</t>
        </is>
      </c>
      <c r="C36" t="inlineStr">
        <is>
          <t>Balcão acessível e mobiliário administrativo</t>
        </is>
      </c>
      <c r="D36" t="inlineStr">
        <is>
          <t>vb</t>
        </is>
      </c>
      <c r="E36" t="n">
        <v>1</v>
      </c>
      <c r="F36" s="2" t="n">
        <v>4000</v>
      </c>
      <c r="G36" s="2" t="n">
        <v>8000</v>
      </c>
      <c r="H36" s="2" t="n">
        <v>14000</v>
      </c>
      <c r="I36" t="inlineStr">
        <is>
          <t>Obra</t>
        </is>
      </c>
      <c r="J36" t="inlineStr">
        <is>
          <t>Trecho acessível conforme A-03.</t>
        </is>
      </c>
    </row>
    <row r="37">
      <c r="A37" t="n">
        <v>36</v>
      </c>
      <c r="B37" t="inlineStr">
        <is>
          <t>Mobiliário e interiores</t>
        </is>
      </c>
      <c r="C37" t="inlineStr">
        <is>
          <t>Recepção completa para quatro pessoas</t>
        </is>
      </c>
      <c r="D37" t="inlineStr">
        <is>
          <t>vb</t>
        </is>
      </c>
      <c r="E37" t="n">
        <v>1</v>
      </c>
      <c r="F37" s="2" t="n">
        <v>2300</v>
      </c>
      <c r="G37" s="2" t="n">
        <v>5000</v>
      </c>
      <c r="H37" s="2" t="n">
        <v>10000</v>
      </c>
      <c r="I37" t="inlineStr">
        <is>
          <t>Fase 1</t>
        </is>
      </c>
      <c r="J37" t="inlineStr">
        <is>
          <t>Assentos, mesa, filtro, café, persiana, Wi-Fi e acessórios.</t>
        </is>
      </c>
    </row>
    <row r="38">
      <c r="A38" t="n">
        <v>37</v>
      </c>
      <c r="B38" t="inlineStr">
        <is>
          <t>Mobiliário e interiores</t>
        </is>
      </c>
      <c r="C38" t="inlineStr">
        <is>
          <t>Fotografia padronizada</t>
        </is>
      </c>
      <c r="D38" t="inlineStr">
        <is>
          <t>kit</t>
        </is>
      </c>
      <c r="E38" t="n">
        <v>1</v>
      </c>
      <c r="F38" s="2" t="n">
        <v>1000</v>
      </c>
      <c r="G38" s="2" t="n">
        <v>2000</v>
      </c>
      <c r="H38" s="2" t="n">
        <v>3350</v>
      </c>
      <c r="I38" t="inlineStr">
        <is>
          <t>Fase 1</t>
        </is>
      </c>
      <c r="J38" t="inlineStr">
        <is>
          <t>Tripé, luz difusa, fundo e escala.</t>
        </is>
      </c>
    </row>
    <row r="39">
      <c r="A39" t="n">
        <v>38</v>
      </c>
      <c r="B39" t="inlineStr">
        <is>
          <t>Mobiliário e interiores</t>
        </is>
      </c>
      <c r="C39" t="inlineStr">
        <is>
          <t>Comunicação visual, placas e decoração</t>
        </is>
      </c>
      <c r="D39" t="inlineStr">
        <is>
          <t>vb</t>
        </is>
      </c>
      <c r="E39" t="n">
        <v>1</v>
      </c>
      <c r="F39" s="2" t="n">
        <v>1200</v>
      </c>
      <c r="G39" s="2" t="n">
        <v>3000</v>
      </c>
      <c r="H39" s="2" t="n">
        <v>6000</v>
      </c>
      <c r="I39" t="inlineStr">
        <is>
          <t>Final</t>
        </is>
      </c>
      <c r="J39" t="inlineStr">
        <is>
          <t>Inclui placas de biossegurança.</t>
        </is>
      </c>
    </row>
    <row r="40">
      <c r="A40" t="n">
        <v>39</v>
      </c>
      <c r="B40" t="inlineStr">
        <is>
          <t>Mobiliário e interiores</t>
        </is>
      </c>
      <c r="C40" t="inlineStr">
        <is>
          <t>Apoio/copa e eletroportáteis</t>
        </is>
      </c>
      <c r="D40" t="inlineStr">
        <is>
          <t>vb</t>
        </is>
      </c>
      <c r="E40" t="n">
        <v>1</v>
      </c>
      <c r="F40" s="2" t="n">
        <v>1000</v>
      </c>
      <c r="G40" s="2" t="n">
        <v>2500</v>
      </c>
      <c r="H40" s="2" t="n">
        <v>5000</v>
      </c>
      <c r="I40" t="inlineStr">
        <is>
          <t>Fase 1</t>
        </is>
      </c>
      <c r="J40" t="inlineStr">
        <is>
          <t>Sem alimentos na área técnica.</t>
        </is>
      </c>
    </row>
    <row r="41">
      <c r="A41" t="n">
        <v>40</v>
      </c>
      <c r="B41" t="inlineStr">
        <is>
          <t>Tecnologia e segurança</t>
        </is>
      </c>
      <c r="C41" t="inlineStr">
        <is>
          <t>Notebook administrativo</t>
        </is>
      </c>
      <c r="D41" t="inlineStr">
        <is>
          <t>un</t>
        </is>
      </c>
      <c r="E41" t="n">
        <v>1</v>
      </c>
      <c r="F41" s="2" t="n">
        <v>3000</v>
      </c>
      <c r="G41" s="2" t="n">
        <v>4500</v>
      </c>
      <c r="H41" s="2" t="n">
        <v>5500</v>
      </c>
      <c r="I41" t="inlineStr">
        <is>
          <t>Fase 1</t>
        </is>
      </c>
      <c r="J41" t="inlineStr">
        <is>
          <t>Criptografia e bloqueio automático.</t>
        </is>
      </c>
    </row>
    <row r="42">
      <c r="A42" t="n">
        <v>41</v>
      </c>
      <c r="B42" t="inlineStr">
        <is>
          <t>Tecnologia e segurança</t>
        </is>
      </c>
      <c r="C42" t="inlineStr">
        <is>
          <t>Impressora multifuncional</t>
        </is>
      </c>
      <c r="D42" t="inlineStr">
        <is>
          <t>un</t>
        </is>
      </c>
      <c r="E42" t="n">
        <v>1</v>
      </c>
      <c r="F42" s="2" t="n">
        <v>900</v>
      </c>
      <c r="G42" s="2" t="n">
        <v>1200</v>
      </c>
      <c r="H42" s="2" t="n">
        <v>1800</v>
      </c>
      <c r="I42" t="inlineStr">
        <is>
          <t>Fase 1</t>
        </is>
      </c>
      <c r="J42" t="inlineStr">
        <is>
          <t>Posição protegida do público.</t>
        </is>
      </c>
    </row>
    <row r="43">
      <c r="A43" t="n">
        <v>42</v>
      </c>
      <c r="B43" t="inlineStr">
        <is>
          <t>Tecnologia e segurança</t>
        </is>
      </c>
      <c r="C43" t="inlineStr">
        <is>
          <t>Impressora de etiquetas</t>
        </is>
      </c>
      <c r="D43" t="inlineStr">
        <is>
          <t>un</t>
        </is>
      </c>
      <c r="E43" t="n">
        <v>1</v>
      </c>
      <c r="F43" s="2" t="n">
        <v>0</v>
      </c>
      <c r="G43" s="2" t="n">
        <v>700</v>
      </c>
      <c r="H43" s="2" t="n">
        <v>1200</v>
      </c>
      <c r="I43" t="inlineStr">
        <is>
          <t>Fase 1</t>
        </is>
      </c>
      <c r="J43" t="inlineStr">
        <is>
          <t>Rastreabilidade de estoque.</t>
        </is>
      </c>
    </row>
    <row r="44">
      <c r="A44" t="n">
        <v>43</v>
      </c>
      <c r="B44" t="inlineStr">
        <is>
          <t>Tecnologia e segurança</t>
        </is>
      </c>
      <c r="C44" t="inlineStr">
        <is>
          <t>Roteador, rede separada e nobreak</t>
        </is>
      </c>
      <c r="D44" t="inlineStr">
        <is>
          <t>kit</t>
        </is>
      </c>
      <c r="E44" t="n">
        <v>1</v>
      </c>
      <c r="F44" s="2" t="n">
        <v>1100</v>
      </c>
      <c r="G44" s="2" t="n">
        <v>1700</v>
      </c>
      <c r="H44" s="2" t="n">
        <v>2300</v>
      </c>
      <c r="I44" t="inlineStr">
        <is>
          <t>Fase 1</t>
        </is>
      </c>
      <c r="J44" t="inlineStr">
        <is>
          <t>Rede de visitantes separada.</t>
        </is>
      </c>
    </row>
    <row r="45">
      <c r="A45" t="n">
        <v>44</v>
      </c>
      <c r="B45" t="inlineStr">
        <is>
          <t>Tecnologia e segurança</t>
        </is>
      </c>
      <c r="C45" t="inlineStr">
        <is>
          <t>Câmeras, alarme e controle de acesso</t>
        </is>
      </c>
      <c r="D45" t="inlineStr">
        <is>
          <t>kit</t>
        </is>
      </c>
      <c r="E45" t="n">
        <v>1</v>
      </c>
      <c r="F45" s="2" t="n">
        <v>1500</v>
      </c>
      <c r="G45" s="2" t="n">
        <v>3000</v>
      </c>
      <c r="H45" s="2" t="n">
        <v>5000</v>
      </c>
      <c r="I45" t="inlineStr">
        <is>
          <t>Fase 1</t>
        </is>
      </c>
      <c r="J45" t="inlineStr">
        <is>
          <t>Nunca posicionar câmera na sala de procedimentos.</t>
        </is>
      </c>
    </row>
    <row r="46">
      <c r="A46" t="n">
        <v>45</v>
      </c>
      <c r="B46" t="inlineStr">
        <is>
          <t>Tecnologia e segurança</t>
        </is>
      </c>
      <c r="C46" t="inlineStr">
        <is>
          <t>Domínio, ferramentas e serviços digitais do primeiro ano</t>
        </is>
      </c>
      <c r="D46" t="inlineStr">
        <is>
          <t>vb</t>
        </is>
      </c>
      <c r="E46" t="n">
        <v>1</v>
      </c>
      <c r="F46" s="2" t="n">
        <v>1000</v>
      </c>
      <c r="G46" s="2" t="n">
        <v>2500</v>
      </c>
      <c r="H46" s="2" t="n">
        <v>5000</v>
      </c>
      <c r="I46" t="inlineStr">
        <is>
          <t>Operação</t>
        </is>
      </c>
      <c r="J46" t="inlineStr">
        <is>
          <t>Revisar assinaturas antes de renovar.</t>
        </is>
      </c>
    </row>
    <row r="47">
      <c r="A47" t="n">
        <v>46</v>
      </c>
      <c r="B47" t="inlineStr">
        <is>
          <t>Equipamentos</t>
        </is>
      </c>
      <c r="C47" t="inlineStr">
        <is>
          <t>HIFU selecionado: Sonofocus / Ultrafocus / Ultramed</t>
        </is>
      </c>
      <c r="D47" t="inlineStr">
        <is>
          <t>un</t>
        </is>
      </c>
      <c r="E47" t="n">
        <v>1</v>
      </c>
      <c r="F47" s="2" t="n">
        <v>8091</v>
      </c>
      <c r="G47" s="2" t="n">
        <v>10990</v>
      </c>
      <c r="H47" s="2" t="n">
        <v>106656</v>
      </c>
      <c r="I47" t="inlineStr">
        <is>
          <t>Fase 2</t>
        </is>
      </c>
      <c r="J47" t="inlineStr">
        <is>
          <t>Uma alternativa por cenário; não somar os três.</t>
        </is>
      </c>
    </row>
    <row r="48">
      <c r="A48" t="n">
        <v>47</v>
      </c>
      <c r="B48" t="inlineStr">
        <is>
          <t>Equipamentos</t>
        </is>
      </c>
      <c r="C48" t="inlineStr">
        <is>
          <t>Fotobiomodulação: Laserpulse / Fluence / Antares</t>
        </is>
      </c>
      <c r="D48" t="inlineStr">
        <is>
          <t>un</t>
        </is>
      </c>
      <c r="E48" t="n">
        <v>1</v>
      </c>
      <c r="F48" s="2" t="n">
        <v>1980</v>
      </c>
      <c r="G48" s="2" t="n">
        <v>2390</v>
      </c>
      <c r="H48" s="2" t="n">
        <v>4474</v>
      </c>
      <c r="I48" t="inlineStr">
        <is>
          <t>Fase 2</t>
        </is>
      </c>
      <c r="J48" t="inlineStr">
        <is>
          <t>Uma alternativa por cenário.</t>
        </is>
      </c>
    </row>
    <row r="49">
      <c r="A49" t="n">
        <v>48</v>
      </c>
      <c r="B49" t="inlineStr">
        <is>
          <t>Equipamentos</t>
        </is>
      </c>
      <c r="C49" t="inlineStr">
        <is>
          <t>Limpeza de pele: alta frequência / Sonopeel / plataforma</t>
        </is>
      </c>
      <c r="D49" t="inlineStr">
        <is>
          <t>un</t>
        </is>
      </c>
      <c r="E49" t="n">
        <v>1</v>
      </c>
      <c r="F49" s="2" t="n">
        <v>500</v>
      </c>
      <c r="G49" s="2" t="n">
        <v>3300</v>
      </c>
      <c r="H49" s="2" t="n">
        <v>6490</v>
      </c>
      <c r="I49" t="inlineStr">
        <is>
          <t>Fase 1/2</t>
        </is>
      </c>
      <c r="J49" t="inlineStr">
        <is>
          <t>Uma configuração por cenário.</t>
        </is>
      </c>
    </row>
    <row r="50">
      <c r="A50" t="n">
        <v>49</v>
      </c>
      <c r="B50" t="inlineStr">
        <is>
          <t>Equipamentos</t>
        </is>
      </c>
      <c r="C50" t="inlineStr">
        <is>
          <t>Analisador de pele: portátil / intermediário / avançado</t>
        </is>
      </c>
      <c r="D50" t="inlineStr">
        <is>
          <t>un</t>
        </is>
      </c>
      <c r="E50" t="n">
        <v>1</v>
      </c>
      <c r="F50" s="2" t="n">
        <v>269</v>
      </c>
      <c r="G50" s="2" t="n">
        <v>350</v>
      </c>
      <c r="H50" s="2" t="n">
        <v>5000</v>
      </c>
      <c r="I50" t="inlineStr">
        <is>
          <t>Fase 1/expansão</t>
        </is>
      </c>
      <c r="J50" t="inlineStr">
        <is>
          <t>Não substitui avaliação profissional.</t>
        </is>
      </c>
    </row>
    <row r="51">
      <c r="A51" t="n">
        <v>50</v>
      </c>
      <c r="B51" t="inlineStr">
        <is>
          <t>Equipamentos</t>
        </is>
      </c>
      <c r="C51" t="inlineStr">
        <is>
          <t>Radiofrequência HTM Effect</t>
        </is>
      </c>
      <c r="D51" t="inlineStr">
        <is>
          <t>un</t>
        </is>
      </c>
      <c r="E51" t="n">
        <v>1</v>
      </c>
      <c r="F51" s="2" t="n">
        <v>0</v>
      </c>
      <c r="G51" s="2" t="n">
        <v>0</v>
      </c>
      <c r="H51" s="2" t="n">
        <v>8690</v>
      </c>
      <c r="I51" t="inlineStr">
        <is>
          <t>Expansão</t>
        </is>
      </c>
      <c r="J51" t="inlineStr">
        <is>
          <t>Adiar no recomendado para preservar caixa.</t>
        </is>
      </c>
    </row>
    <row r="52">
      <c r="A52" t="n">
        <v>51</v>
      </c>
      <c r="B52" t="inlineStr">
        <is>
          <t>Equipamentos</t>
        </is>
      </c>
      <c r="C52" t="inlineStr">
        <is>
          <t>Autoclave e seladora</t>
        </is>
      </c>
      <c r="D52" t="inlineStr">
        <is>
          <t>kit</t>
        </is>
      </c>
      <c r="E52" t="n">
        <v>1</v>
      </c>
      <c r="F52" s="2" t="n">
        <v>0</v>
      </c>
      <c r="G52" s="2" t="n">
        <v>4059</v>
      </c>
      <c r="H52" s="2" t="n">
        <v>8500</v>
      </c>
      <c r="I52" t="inlineStr">
        <is>
          <t>Condicional</t>
        </is>
      </c>
      <c r="J52" t="inlineStr">
        <is>
          <t>Zero se processamento for terceirizado.</t>
        </is>
      </c>
    </row>
    <row r="53">
      <c r="A53" t="n">
        <v>52</v>
      </c>
      <c r="B53" t="inlineStr">
        <is>
          <t>Equipamentos</t>
        </is>
      </c>
      <c r="C53" t="inlineStr">
        <is>
          <t>Câmara de conservação e monitoramento</t>
        </is>
      </c>
      <c r="D53" t="inlineStr">
        <is>
          <t>kit</t>
        </is>
      </c>
      <c r="E53" t="n">
        <v>1</v>
      </c>
      <c r="F53" s="2" t="n">
        <v>0</v>
      </c>
      <c r="G53" s="2" t="n">
        <v>8000</v>
      </c>
      <c r="H53" s="2" t="n">
        <v>9650</v>
      </c>
      <c r="I53" t="inlineStr">
        <is>
          <t>Condicional</t>
        </is>
      </c>
      <c r="J53" t="inlineStr">
        <is>
          <t>Reservar, mas comprar somente após habilitação/licença.</t>
        </is>
      </c>
    </row>
    <row r="54">
      <c r="A54" t="n">
        <v>53</v>
      </c>
      <c r="B54" t="inlineStr">
        <is>
          <t>Equipamentos</t>
        </is>
      </c>
      <c r="C54" t="inlineStr">
        <is>
          <t>Sinais vitais e apoio clínico</t>
        </is>
      </c>
      <c r="D54" t="inlineStr">
        <is>
          <t>kit</t>
        </is>
      </c>
      <c r="E54" t="n">
        <v>1</v>
      </c>
      <c r="F54" s="2" t="n">
        <v>500</v>
      </c>
      <c r="G54" s="2" t="n">
        <v>1200</v>
      </c>
      <c r="H54" s="2" t="n">
        <v>1800</v>
      </c>
      <c r="I54" t="inlineStr">
        <is>
          <t>Fase 1</t>
        </is>
      </c>
      <c r="J54" t="inlineStr">
        <is>
          <t>Seleção e calibração pelo RT.</t>
        </is>
      </c>
    </row>
    <row r="55">
      <c r="A55" t="n">
        <v>54</v>
      </c>
      <c r="B55" t="inlineStr">
        <is>
          <t>Equipamentos</t>
        </is>
      </c>
      <c r="C55" t="inlineStr">
        <is>
          <t>Manutenção, calibração e acessórios iniciais</t>
        </is>
      </c>
      <c r="D55" t="inlineStr">
        <is>
          <t>vb</t>
        </is>
      </c>
      <c r="E55" t="n">
        <v>1</v>
      </c>
      <c r="F55" s="2" t="n">
        <v>1500</v>
      </c>
      <c r="G55" s="2" t="n">
        <v>3500</v>
      </c>
      <c r="H55" s="2" t="n">
        <v>8000</v>
      </c>
      <c r="I55" t="inlineStr">
        <is>
          <t>Fase 1/2</t>
        </is>
      </c>
      <c r="J55" t="inlineStr">
        <is>
          <t>Contrato e reserva técnica.</t>
        </is>
      </c>
    </row>
    <row r="56">
      <c r="A56" t="n">
        <v>55</v>
      </c>
      <c r="B56" t="inlineStr">
        <is>
          <t>Estoque inicial</t>
        </is>
      </c>
      <c r="C56" t="inlineStr">
        <is>
          <t>Materiais gerais, EPIs e biossegurança</t>
        </is>
      </c>
      <c r="D56" t="inlineStr">
        <is>
          <t>vb</t>
        </is>
      </c>
      <c r="E56" t="n">
        <v>1</v>
      </c>
      <c r="F56" s="2" t="n">
        <v>2500</v>
      </c>
      <c r="G56" s="2" t="n">
        <v>4500</v>
      </c>
      <c r="H56" s="2" t="n">
        <v>6500</v>
      </c>
      <c r="I56" t="inlineStr">
        <is>
          <t>Fase 1</t>
        </is>
      </c>
      <c r="J56" t="inlineStr">
        <is>
          <t>Escala de 40 atendimentos/mês.</t>
        </is>
      </c>
    </row>
    <row r="57">
      <c r="A57" t="n">
        <v>56</v>
      </c>
      <c r="B57" t="inlineStr">
        <is>
          <t>Estoque inicial</t>
        </is>
      </c>
      <c r="C57" t="inlineStr">
        <is>
          <t>Linha profissional não invasiva</t>
        </is>
      </c>
      <c r="D57" t="inlineStr">
        <is>
          <t>vb</t>
        </is>
      </c>
      <c r="E57" t="n">
        <v>1</v>
      </c>
      <c r="F57" s="2" t="n">
        <v>1000</v>
      </c>
      <c r="G57" s="2" t="n">
        <v>2500</v>
      </c>
      <c r="H57" s="2" t="n">
        <v>5000</v>
      </c>
      <c r="I57" t="inlineStr">
        <is>
          <t>Fase 1</t>
        </is>
      </c>
      <c r="J57" t="inlineStr">
        <is>
          <t>Bioage/Tulípia/ADCOS conforme cadastro.</t>
        </is>
      </c>
    </row>
    <row r="58">
      <c r="A58" t="n">
        <v>57</v>
      </c>
      <c r="B58" t="inlineStr">
        <is>
          <t>Estoque inicial</t>
        </is>
      </c>
      <c r="C58" t="inlineStr">
        <is>
          <t>Consumíveis de aparelhos</t>
        </is>
      </c>
      <c r="D58" t="inlineStr">
        <is>
          <t>vb</t>
        </is>
      </c>
      <c r="E58" t="n">
        <v>1</v>
      </c>
      <c r="F58" s="2" t="n">
        <v>500</v>
      </c>
      <c r="G58" s="2" t="n">
        <v>1500</v>
      </c>
      <c r="H58" s="2" t="n">
        <v>3000</v>
      </c>
      <c r="I58" t="inlineStr">
        <is>
          <t>Fase 2</t>
        </is>
      </c>
      <c r="J58" t="inlineStr">
        <is>
          <t>Comprar próximo ao comissionamento.</t>
        </is>
      </c>
    </row>
    <row r="59">
      <c r="A59" t="n">
        <v>58</v>
      </c>
      <c r="B59" t="inlineStr">
        <is>
          <t>Estoque inicial</t>
        </is>
      </c>
      <c r="C59" t="inlineStr">
        <is>
          <t>Consumíveis de esterilização</t>
        </is>
      </c>
      <c r="D59" t="inlineStr">
        <is>
          <t>vb</t>
        </is>
      </c>
      <c r="E59" t="n">
        <v>1</v>
      </c>
      <c r="F59" s="2" t="n">
        <v>0</v>
      </c>
      <c r="G59" s="2" t="n">
        <v>1000</v>
      </c>
      <c r="H59" s="2" t="n">
        <v>2500</v>
      </c>
      <c r="I59" t="inlineStr">
        <is>
          <t>Condicional</t>
        </is>
      </c>
      <c r="J59" t="inlineStr">
        <is>
          <t>Zero se processamento terceirizado.</t>
        </is>
      </c>
    </row>
    <row r="60">
      <c r="A60" t="n">
        <v>59</v>
      </c>
      <c r="B60" t="inlineStr">
        <is>
          <t>Estoque inicial</t>
        </is>
      </c>
      <c r="C60" t="inlineStr">
        <is>
          <t>Reserva para injetáveis piloto</t>
        </is>
      </c>
      <c r="D60" t="inlineStr">
        <is>
          <t>vb</t>
        </is>
      </c>
      <c r="E60" t="n">
        <v>1</v>
      </c>
      <c r="F60" s="2" t="n">
        <v>0</v>
      </c>
      <c r="G60" s="2" t="n">
        <v>8000</v>
      </c>
      <c r="H60" s="2" t="n">
        <v>20000</v>
      </c>
      <c r="I60" t="inlineStr">
        <is>
          <t>Após licença</t>
        </is>
      </c>
      <c r="J60" t="inlineStr">
        <is>
          <t>Reservar caixa; não comprar antecipadamente.</t>
        </is>
      </c>
    </row>
    <row r="61">
      <c r="A61" t="n">
        <v>60</v>
      </c>
      <c r="B61" t="inlineStr">
        <is>
          <t>Estoque inicial</t>
        </is>
      </c>
      <c r="C61" t="inlineStr">
        <is>
          <t>Kit de emergência definido pelo RT</t>
        </is>
      </c>
      <c r="D61" t="inlineStr">
        <is>
          <t>vb</t>
        </is>
      </c>
      <c r="E61" t="n">
        <v>1</v>
      </c>
      <c r="F61" s="2" t="n">
        <v>0</v>
      </c>
      <c r="G61" s="2" t="n">
        <v>2000</v>
      </c>
      <c r="H61" s="2" t="n">
        <v>4000</v>
      </c>
      <c r="I61" t="inlineStr">
        <is>
          <t>Após licença</t>
        </is>
      </c>
      <c r="J61" t="inlineStr">
        <is>
          <t>Conteúdo somente após protocolo aprovado.</t>
        </is>
      </c>
    </row>
    <row r="62">
      <c r="A62" t="n">
        <v>61</v>
      </c>
      <c r="B62" t="inlineStr">
        <is>
          <t>Estoque inicial</t>
        </is>
      </c>
      <c r="C62" t="inlineStr">
        <is>
          <t>Materiais de limpeza e sanitário</t>
        </is>
      </c>
      <c r="D62" t="inlineStr">
        <is>
          <t>vb</t>
        </is>
      </c>
      <c r="E62" t="n">
        <v>1</v>
      </c>
      <c r="F62" s="2" t="n">
        <v>1000</v>
      </c>
      <c r="G62" s="2" t="n">
        <v>1500</v>
      </c>
      <c r="H62" s="2" t="n">
        <v>2500</v>
      </c>
      <c r="I62" t="inlineStr">
        <is>
          <t>Fase 1</t>
        </is>
      </c>
      <c r="J62" t="inlineStr">
        <is>
          <t>Inclui mops, panos e reposição.</t>
        </is>
      </c>
    </row>
    <row r="63">
      <c r="A63" t="n">
        <v>62</v>
      </c>
      <c r="B63" t="inlineStr">
        <is>
          <t>Estoque inicial</t>
        </is>
      </c>
      <c r="C63" t="inlineStr">
        <is>
          <t>Água, café e itens de recepção</t>
        </is>
      </c>
      <c r="D63" t="inlineStr">
        <is>
          <t>vb</t>
        </is>
      </c>
      <c r="E63" t="n">
        <v>1</v>
      </c>
      <c r="F63" s="2" t="n">
        <v>500</v>
      </c>
      <c r="G63" s="2" t="n">
        <v>1000</v>
      </c>
      <c r="H63" s="2" t="n">
        <v>1500</v>
      </c>
      <c r="I63" t="inlineStr">
        <is>
          <t>Fase 1</t>
        </is>
      </c>
      <c r="J63" t="inlineStr">
        <is>
          <t>Primeiro ciclo de abastecimento.</t>
        </is>
      </c>
    </row>
    <row r="64">
      <c r="A64" t="n">
        <v>63</v>
      </c>
      <c r="B64" t="inlineStr">
        <is>
          <t>Lançamento e operação</t>
        </is>
      </c>
      <c r="C64" t="inlineStr">
        <is>
          <t>Identidade aplicada, inauguração e comunicação inicial</t>
        </is>
      </c>
      <c r="D64" t="inlineStr">
        <is>
          <t>vb</t>
        </is>
      </c>
      <c r="E64" t="n">
        <v>1</v>
      </c>
      <c r="F64" s="2" t="n">
        <v>3000</v>
      </c>
      <c r="G64" s="2" t="n">
        <v>8000</v>
      </c>
      <c r="H64" s="2" t="n">
        <v>15000</v>
      </c>
      <c r="I64" t="inlineStr">
        <is>
          <t>Pré-abertura</t>
        </is>
      </c>
      <c r="J64" t="inlineStr">
        <is>
          <t>Sem publicidade irregular ou promessa de resultado.</t>
        </is>
      </c>
    </row>
    <row r="65">
      <c r="A65" t="n">
        <v>64</v>
      </c>
      <c r="B65" t="inlineStr">
        <is>
          <t>Lançamento e operação</t>
        </is>
      </c>
      <c r="C65" t="inlineStr">
        <is>
          <t>Contrato/coleta de resíduos e implantação</t>
        </is>
      </c>
      <c r="D65" t="inlineStr">
        <is>
          <t>vb</t>
        </is>
      </c>
      <c r="E65" t="n">
        <v>1</v>
      </c>
      <c r="F65" s="2" t="n">
        <v>1000</v>
      </c>
      <c r="G65" s="2" t="n">
        <v>2500</v>
      </c>
      <c r="H65" s="2" t="n">
        <v>4000</v>
      </c>
      <c r="I65" t="inlineStr">
        <is>
          <t>Pré-abertura</t>
        </is>
      </c>
      <c r="J65" t="inlineStr">
        <is>
          <t>Fornecedor licenciado.</t>
        </is>
      </c>
    </row>
    <row r="66">
      <c r="A66" t="n">
        <v>65</v>
      </c>
      <c r="B66" t="inlineStr">
        <is>
          <t>Lançamento e operação</t>
        </is>
      </c>
      <c r="C66" t="inlineStr">
        <is>
          <t>Contratos iniciais de manutenção e suporte</t>
        </is>
      </c>
      <c r="D66" t="inlineStr">
        <is>
          <t>vb</t>
        </is>
      </c>
      <c r="E66" t="n">
        <v>1</v>
      </c>
      <c r="F66" s="2" t="n">
        <v>1500</v>
      </c>
      <c r="G66" s="2" t="n">
        <v>3500</v>
      </c>
      <c r="H66" s="2" t="n">
        <v>8000</v>
      </c>
      <c r="I66" t="inlineStr">
        <is>
          <t>Pré-abertura</t>
        </is>
      </c>
      <c r="J66" t="inlineStr">
        <is>
          <t>Equipamentos, climatização e segurança.</t>
        </is>
      </c>
    </row>
    <row r="67">
      <c r="A67" t="n">
        <v>66</v>
      </c>
      <c r="B67" t="inlineStr">
        <is>
          <t>Capital de giro</t>
        </is>
      </c>
      <c r="C67" t="inlineStr">
        <is>
          <t>Reserva operacional de três meses</t>
        </is>
      </c>
      <c r="D67" t="inlineStr">
        <is>
          <t>vb</t>
        </is>
      </c>
      <c r="E67" t="n">
        <v>1</v>
      </c>
      <c r="F67" s="2" t="n">
        <v>30000</v>
      </c>
      <c r="G67" s="2" t="n">
        <v>60000</v>
      </c>
      <c r="H67" s="2" t="n">
        <v>90000</v>
      </c>
      <c r="I67" t="inlineStr">
        <is>
          <t>Antes da abertura</t>
        </is>
      </c>
      <c r="J67" t="inlineStr">
        <is>
          <t>Pessoal, consumo, utilidades, taxas e marketing; recalcular com despesas reais.</t>
        </is>
      </c>
    </row>
  </sheetData>
  <autoFilter ref="A1:J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9" customWidth="1" min="4" max="4"/>
  </cols>
  <sheetData>
    <row r="1">
      <c r="A1" s="1" t="inlineStr">
        <is>
          <t>Categoria</t>
        </is>
      </c>
      <c r="B1" s="1" t="inlineStr">
        <is>
          <t>Essencial</t>
        </is>
      </c>
      <c r="C1" s="1" t="inlineStr">
        <is>
          <t>Recomendado</t>
        </is>
      </c>
      <c r="D1" s="1" t="inlineStr">
        <is>
          <t>Premium</t>
        </is>
      </c>
    </row>
    <row r="2">
      <c r="A2" t="inlineStr">
        <is>
          <t>Projetos e licenças</t>
        </is>
      </c>
      <c r="B2" s="3" t="n">
        <v>0.15</v>
      </c>
      <c r="C2" s="3" t="n">
        <v>0.2</v>
      </c>
      <c r="D2" s="3" t="n">
        <v>0.25</v>
      </c>
    </row>
    <row r="3">
      <c r="A3" t="inlineStr">
        <is>
          <t>Construção 60 m²</t>
        </is>
      </c>
      <c r="B3" s="3" t="n">
        <v>0.2</v>
      </c>
      <c r="C3" s="3" t="n">
        <v>0.22</v>
      </c>
      <c r="D3" s="3" t="n">
        <v>0.25</v>
      </c>
    </row>
    <row r="4">
      <c r="A4" t="inlineStr">
        <is>
          <t>Área externa 30 m²</t>
        </is>
      </c>
      <c r="B4" s="3" t="n">
        <v>0.2</v>
      </c>
      <c r="C4" s="3" t="n">
        <v>0.22</v>
      </c>
      <c r="D4" s="3" t="n">
        <v>0.25</v>
      </c>
    </row>
    <row r="5">
      <c r="A5" t="inlineStr">
        <is>
          <t>Mobiliário e interiores</t>
        </is>
      </c>
      <c r="B5" s="3" t="n">
        <v>0.15</v>
      </c>
      <c r="C5" s="3" t="n">
        <v>0.18</v>
      </c>
      <c r="D5" s="3" t="n">
        <v>0.2</v>
      </c>
    </row>
    <row r="6">
      <c r="A6" t="inlineStr">
        <is>
          <t>Tecnologia e segurança</t>
        </is>
      </c>
      <c r="B6" s="3" t="n">
        <v>0.12</v>
      </c>
      <c r="C6" s="3" t="n">
        <v>0.15</v>
      </c>
      <c r="D6" s="3" t="n">
        <v>0.18</v>
      </c>
    </row>
    <row r="7">
      <c r="A7" t="inlineStr">
        <is>
          <t>Equipamentos</t>
        </is>
      </c>
      <c r="B7" s="3" t="n">
        <v>0.12</v>
      </c>
      <c r="C7" s="3" t="n">
        <v>0.15</v>
      </c>
      <c r="D7" s="3" t="n">
        <v>0.18</v>
      </c>
    </row>
    <row r="8">
      <c r="A8" t="inlineStr">
        <is>
          <t>Estoque inicial</t>
        </is>
      </c>
      <c r="B8" s="3" t="n">
        <v>0.1</v>
      </c>
      <c r="C8" s="3" t="n">
        <v>0.12</v>
      </c>
      <c r="D8" s="3" t="n">
        <v>0.15</v>
      </c>
    </row>
    <row r="9">
      <c r="A9" t="inlineStr">
        <is>
          <t>Lançamento e operação</t>
        </is>
      </c>
      <c r="B9" s="3" t="n">
        <v>0.1</v>
      </c>
      <c r="C9" s="3" t="n">
        <v>0.15</v>
      </c>
      <c r="D9" s="3" t="n">
        <v>0.2</v>
      </c>
    </row>
    <row r="10">
      <c r="A10" t="inlineStr">
        <is>
          <t>Capital de giro</t>
        </is>
      </c>
      <c r="B10" s="3" t="n">
        <v>0</v>
      </c>
      <c r="C10" s="3" t="n">
        <v>0</v>
      </c>
      <c r="D10" s="3" t="n">
        <v>0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</cols>
  <sheetData>
    <row r="1">
      <c r="A1" s="1" t="inlineStr">
        <is>
          <t>Parâmetro</t>
        </is>
      </c>
      <c r="B1" s="1" t="inlineStr">
        <is>
          <t>Valor</t>
        </is>
      </c>
      <c r="C1" s="1" t="n"/>
    </row>
    <row r="2">
      <c r="A2" t="inlineStr">
        <is>
          <t>Meta recomendada com folga</t>
        </is>
      </c>
      <c r="B2" s="2" t="n">
        <v>756001.8</v>
      </c>
    </row>
    <row r="3">
      <c r="A3" t="inlineStr">
        <is>
          <t>Saldo já reservado — editar</t>
        </is>
      </c>
      <c r="B3" s="4" t="n">
        <v>0</v>
      </c>
    </row>
    <row r="4">
      <c r="A4" t="inlineStr">
        <is>
          <t>Meses restantes — editar</t>
        </is>
      </c>
      <c r="B4" s="4" t="n">
        <v>8</v>
      </c>
    </row>
    <row r="5">
      <c r="A5" t="inlineStr">
        <is>
          <t>Aporte mensal necessário</t>
        </is>
      </c>
      <c r="B5">
        <f>MAX(0,(B2-B3)/B4)</f>
        <v/>
      </c>
    </row>
    <row r="7">
      <c r="A7" t="inlineStr">
        <is>
          <t>Mês</t>
        </is>
      </c>
      <c r="B7" t="inlineStr">
        <is>
          <t>Aporte planejado</t>
        </is>
      </c>
      <c r="C7" t="inlineStr">
        <is>
          <t>Acumulado projetado</t>
        </is>
      </c>
    </row>
    <row r="8">
      <c r="A8" t="inlineStr">
        <is>
          <t>Set/2026</t>
        </is>
      </c>
      <c r="B8">
        <f>$B$5</f>
        <v/>
      </c>
      <c r="C8">
        <f>$B$3+SUM($B$8:B8)</f>
        <v/>
      </c>
    </row>
    <row r="9">
      <c r="A9" t="inlineStr">
        <is>
          <t>Out/2026</t>
        </is>
      </c>
      <c r="B9">
        <f>$B$5</f>
        <v/>
      </c>
      <c r="C9">
        <f>$B$3+SUM($B$8:B9)</f>
        <v/>
      </c>
    </row>
    <row r="10">
      <c r="A10" t="inlineStr">
        <is>
          <t>Nov/2026</t>
        </is>
      </c>
      <c r="B10">
        <f>$B$5</f>
        <v/>
      </c>
      <c r="C10">
        <f>$B$3+SUM($B$8:B10)</f>
        <v/>
      </c>
    </row>
    <row r="11">
      <c r="A11" t="inlineStr">
        <is>
          <t>Dez/2026</t>
        </is>
      </c>
      <c r="B11">
        <f>$B$5</f>
        <v/>
      </c>
      <c r="C11">
        <f>$B$3+SUM($B$8:B11)</f>
        <v/>
      </c>
    </row>
    <row r="12">
      <c r="A12" t="inlineStr">
        <is>
          <t>Jan/2027</t>
        </is>
      </c>
      <c r="B12">
        <f>$B$5</f>
        <v/>
      </c>
      <c r="C12">
        <f>$B$3+SUM($B$8:B12)</f>
        <v/>
      </c>
    </row>
    <row r="13">
      <c r="A13" t="inlineStr">
        <is>
          <t>Fev/2027</t>
        </is>
      </c>
      <c r="B13">
        <f>$B$5</f>
        <v/>
      </c>
      <c r="C13">
        <f>$B$3+SUM($B$8:B13)</f>
        <v/>
      </c>
    </row>
    <row r="14">
      <c r="A14" t="inlineStr">
        <is>
          <t>Mar/2027</t>
        </is>
      </c>
      <c r="B14">
        <f>$B$5</f>
        <v/>
      </c>
      <c r="C14">
        <f>$B$3+SUM($B$8:B14)</f>
        <v/>
      </c>
    </row>
    <row r="15">
      <c r="A15" t="inlineStr">
        <is>
          <t>Abr/2027</t>
        </is>
      </c>
      <c r="B15">
        <f>$B$5</f>
        <v/>
      </c>
      <c r="C15">
        <f>$B$3+SUM($B$8:B15)</f>
        <v/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60" customWidth="1" min="3" max="3"/>
    <col width="45" customWidth="1" min="4" max="4"/>
  </cols>
  <sheetData>
    <row r="1">
      <c r="A1" s="1" t="inlineStr">
        <is>
          <t>Período</t>
        </is>
      </c>
      <c r="B1" s="1" t="inlineStr">
        <is>
          <t>Decisão/compra</t>
        </is>
      </c>
      <c r="C1" s="1" t="inlineStr">
        <is>
          <t>Fazer</t>
        </is>
      </c>
      <c r="D1" s="1" t="inlineStr">
        <is>
          <t>Evitar</t>
        </is>
      </c>
    </row>
    <row r="2">
      <c r="A2" t="inlineStr">
        <is>
          <t>Set–Nov/2026</t>
        </is>
      </c>
      <c r="B2" t="inlineStr">
        <is>
          <t>Levantamentos, anteprojeto e validação profissional</t>
        </is>
      </c>
      <c r="C2" t="inlineStr">
        <is>
          <t>Medir terreno, definir RT, consultar Vigilância e formar reserva</t>
        </is>
      </c>
      <c r="D2" t="inlineStr">
        <is>
          <t>Comprar aparelhos, cosméticos ou injetáveis</t>
        </is>
      </c>
    </row>
    <row r="3">
      <c r="A3" t="inlineStr">
        <is>
          <t>Dez/2026–Fev/2027</t>
        </is>
      </c>
      <c r="B3" t="inlineStr">
        <is>
          <t>Projetos executivos e aprovações</t>
        </is>
      </c>
      <c r="C3" t="inlineStr">
        <is>
          <t>Contratar responsáveis, fechar projetos e três cotações por pacote</t>
        </is>
      </c>
      <c r="D3" t="inlineStr">
        <is>
          <t>Fechar obra sem escopo e cronograma</t>
        </is>
      </c>
    </row>
    <row r="4">
      <c r="A4" t="inlineStr">
        <is>
          <t>Mar–Abr/2027</t>
        </is>
      </c>
      <c r="B4" t="inlineStr">
        <is>
          <t>Contratação da obra</t>
        </is>
      </c>
      <c r="C4" t="inlineStr">
        <is>
          <t>Assinar contrato por etapas, seguro e garantias</t>
        </is>
      </c>
      <c r="D4" t="inlineStr">
        <is>
          <t>Pagar grande adiantamento sem medição</t>
        </is>
      </c>
    </row>
    <row r="5">
      <c r="A5" t="inlineStr">
        <is>
          <t>Mai–Ago/2027</t>
        </is>
      </c>
      <c r="B5" t="inlineStr">
        <is>
          <t>Obra e instalações</t>
        </is>
      </c>
      <c r="C5" t="inlineStr">
        <is>
          <t>Comprar materiais conforme cronograma e conferir entregas</t>
        </is>
      </c>
      <c r="D5" t="inlineStr">
        <is>
          <t>Levar equipamentos para ambiente com poeira</t>
        </is>
      </c>
    </row>
    <row r="6">
      <c r="A6" t="inlineStr">
        <is>
          <t>Set–Out/2027</t>
        </is>
      </c>
      <c r="B6" t="inlineStr">
        <is>
          <t>Mobiliário, TI e equipamentos essenciais</t>
        </is>
      </c>
      <c r="C6" t="inlineStr">
        <is>
          <t>Instalar, testar, treinar e registrar garantias</t>
        </is>
      </c>
      <c r="D6" t="inlineStr">
        <is>
          <t>Comprar alternativas redundantes</t>
        </is>
      </c>
    </row>
    <row r="7">
      <c r="A7" t="inlineStr">
        <is>
          <t>Nov–Dez/2027</t>
        </is>
      </c>
      <c r="B7" t="inlineStr">
        <is>
          <t>Estoque inicial e licenças finais</t>
        </is>
      </c>
      <c r="C7" t="inlineStr">
        <is>
          <t>Comprar consumíveis perto da abertura e validar lotes</t>
        </is>
      </c>
      <c r="D7" t="inlineStr">
        <is>
          <t>Antecipar injetáveis sem licença/agendas</t>
        </is>
      </c>
    </row>
    <row r="8">
      <c r="A8" t="inlineStr">
        <is>
          <t>Pós-abertura</t>
        </is>
      </c>
      <c r="B8" t="inlineStr">
        <is>
          <t>Expansão</t>
        </is>
      </c>
      <c r="C8" t="inlineStr">
        <is>
          <t>Comprar RF, análise avançada e premium após demanda comprovada</t>
        </is>
      </c>
      <c r="D8" t="inlineStr">
        <is>
          <t>Imobilizar caixa por imagem/status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7" customWidth="1" min="3" max="3"/>
    <col width="14" customWidth="1" min="4" max="4"/>
    <col width="18" customWidth="1" min="5" max="5"/>
    <col width="18" customWidth="1" min="6" max="6"/>
    <col width="55" customWidth="1" min="7" max="7"/>
  </cols>
  <sheetData>
    <row r="1">
      <c r="A1" s="5" t="inlineStr">
        <is>
          <t>Mês</t>
        </is>
      </c>
      <c r="B1" s="5" t="inlineStr">
        <is>
          <t>Período</t>
        </is>
      </c>
      <c r="C1" s="5" t="inlineStr">
        <is>
          <t>Fase</t>
        </is>
      </c>
      <c r="D1" s="5" t="inlineStr">
        <is>
          <t>% do total</t>
        </is>
      </c>
      <c r="E1" s="5" t="inlineStr">
        <is>
          <t>60 m²</t>
        </is>
      </c>
      <c r="F1" s="5" t="inlineStr">
        <is>
          <t>45 m²</t>
        </is>
      </c>
      <c r="G1" s="5" t="inlineStr">
        <is>
          <t>Observação</t>
        </is>
      </c>
    </row>
    <row r="2">
      <c r="A2" s="6" t="n">
        <v>1</v>
      </c>
      <c r="B2" s="6" t="inlineStr">
        <is>
          <t>mai/2027</t>
        </is>
      </c>
      <c r="C2" s="6" t="inlineStr">
        <is>
          <t>Projeto executivo</t>
        </is>
      </c>
      <c r="D2" s="7" t="n">
        <v>0.025</v>
      </c>
      <c r="E2" s="8" t="n">
        <v>18900.05</v>
      </c>
      <c r="F2" s="8" t="n">
        <v>16834.17</v>
      </c>
      <c r="G2" s="6" t="inlineStr">
        <is>
          <t>Evitar compra antecipada de equipamentos e produtos com validade</t>
        </is>
      </c>
    </row>
    <row r="3">
      <c r="A3" t="n">
        <v>2</v>
      </c>
      <c r="B3" t="inlineStr">
        <is>
          <t>jun/2027</t>
        </is>
      </c>
      <c r="C3" t="inlineStr">
        <is>
          <t>Projeto executivo</t>
        </is>
      </c>
      <c r="D3" s="9" t="n">
        <v>0.025</v>
      </c>
      <c r="E3" s="2" t="n">
        <v>18900.05</v>
      </c>
      <c r="F3" s="2" t="n">
        <v>16834.17</v>
      </c>
      <c r="G3" t="inlineStr">
        <is>
          <t>Evitar compra antecipada de equipamentos e produtos com validade</t>
        </is>
      </c>
    </row>
    <row r="4">
      <c r="A4" s="6" t="n">
        <v>3</v>
      </c>
      <c r="B4" s="6" t="inlineStr">
        <is>
          <t>jul/2027</t>
        </is>
      </c>
      <c r="C4" s="6" t="inlineStr">
        <is>
          <t>Aprovações</t>
        </is>
      </c>
      <c r="D4" s="7" t="n">
        <v>0.025</v>
      </c>
      <c r="E4" s="8" t="n">
        <v>18900.05</v>
      </c>
      <c r="F4" s="8" t="n">
        <v>16834.17</v>
      </c>
      <c r="G4" s="6" t="inlineStr">
        <is>
          <t>Evitar compra antecipada de equipamentos e produtos com validade</t>
        </is>
      </c>
    </row>
    <row r="5">
      <c r="A5" t="n">
        <v>4</v>
      </c>
      <c r="B5" t="inlineStr">
        <is>
          <t>ago/2027</t>
        </is>
      </c>
      <c r="C5" t="inlineStr">
        <is>
          <t>Aprovações</t>
        </is>
      </c>
      <c r="D5" s="9" t="n">
        <v>0.025</v>
      </c>
      <c r="E5" s="2" t="n">
        <v>18900.05</v>
      </c>
      <c r="F5" s="2" t="n">
        <v>16834.17</v>
      </c>
      <c r="G5" t="inlineStr">
        <is>
          <t>Evitar compra antecipada de equipamentos e produtos com validade</t>
        </is>
      </c>
    </row>
    <row r="6">
      <c r="A6" s="6" t="n">
        <v>5</v>
      </c>
      <c r="B6" s="6" t="inlineStr">
        <is>
          <t>set/2027</t>
        </is>
      </c>
      <c r="C6" s="6" t="inlineStr">
        <is>
          <t>Base e estrutura</t>
        </is>
      </c>
      <c r="D6" s="7" t="n">
        <v>0.05</v>
      </c>
      <c r="E6" s="8" t="n">
        <v>37800.09</v>
      </c>
      <c r="F6" s="8" t="n">
        <v>33668.34</v>
      </c>
      <c r="G6" s="6" t="inlineStr">
        <is>
          <t>Evitar compra antecipada de equipamentos e produtos com validade</t>
        </is>
      </c>
    </row>
    <row r="7">
      <c r="A7" t="n">
        <v>6</v>
      </c>
      <c r="B7" t="inlineStr">
        <is>
          <t>out/2027</t>
        </is>
      </c>
      <c r="C7" t="inlineStr">
        <is>
          <t>Base e estrutura</t>
        </is>
      </c>
      <c r="D7" s="9" t="n">
        <v>0.05</v>
      </c>
      <c r="E7" s="2" t="n">
        <v>37800.09</v>
      </c>
      <c r="F7" s="2" t="n">
        <v>33668.34</v>
      </c>
      <c r="G7" t="inlineStr">
        <is>
          <t>Evitar compra antecipada de equipamentos e produtos com validade</t>
        </is>
      </c>
    </row>
    <row r="8">
      <c r="A8" s="6" t="n">
        <v>7</v>
      </c>
      <c r="B8" s="6" t="inlineStr">
        <is>
          <t>nov/2027</t>
        </is>
      </c>
      <c r="C8" s="6" t="inlineStr">
        <is>
          <t>Base e estrutura</t>
        </is>
      </c>
      <c r="D8" s="7" t="n">
        <v>0.05</v>
      </c>
      <c r="E8" s="8" t="n">
        <v>37800.09</v>
      </c>
      <c r="F8" s="8" t="n">
        <v>33668.34</v>
      </c>
      <c r="G8" s="6" t="inlineStr">
        <is>
          <t>Evitar compra antecipada de equipamentos e produtos com validade</t>
        </is>
      </c>
    </row>
    <row r="9">
      <c r="A9" t="n">
        <v>8</v>
      </c>
      <c r="B9" t="inlineStr">
        <is>
          <t>dez/2027</t>
        </is>
      </c>
      <c r="C9" t="inlineStr">
        <is>
          <t>Fechamentos</t>
        </is>
      </c>
      <c r="D9" s="9" t="n">
        <v>0.05</v>
      </c>
      <c r="E9" s="2" t="n">
        <v>37800.09</v>
      </c>
      <c r="F9" s="2" t="n">
        <v>33668.34</v>
      </c>
      <c r="G9" t="inlineStr">
        <is>
          <t>Evitar compra antecipada de equipamentos e produtos com validade</t>
        </is>
      </c>
    </row>
    <row r="10">
      <c r="A10" s="6" t="n">
        <v>9</v>
      </c>
      <c r="B10" s="6" t="inlineStr">
        <is>
          <t>jan/2028</t>
        </is>
      </c>
      <c r="C10" s="6" t="inlineStr">
        <is>
          <t>Fechamentos</t>
        </is>
      </c>
      <c r="D10" s="7" t="n">
        <v>0.05</v>
      </c>
      <c r="E10" s="8" t="n">
        <v>37800.09</v>
      </c>
      <c r="F10" s="8" t="n">
        <v>33668.34</v>
      </c>
      <c r="G10" s="6" t="inlineStr">
        <is>
          <t>Evitar compra antecipada de equipamentos e produtos com validade</t>
        </is>
      </c>
    </row>
    <row r="11">
      <c r="A11" t="n">
        <v>10</v>
      </c>
      <c r="B11" t="inlineStr">
        <is>
          <t>fev/2028</t>
        </is>
      </c>
      <c r="C11" t="inlineStr">
        <is>
          <t>Instalações</t>
        </is>
      </c>
      <c r="D11" s="9" t="n">
        <v>0.05</v>
      </c>
      <c r="E11" s="2" t="n">
        <v>37800.09</v>
      </c>
      <c r="F11" s="2" t="n">
        <v>33668.34</v>
      </c>
      <c r="G11" t="inlineStr">
        <is>
          <t>Evitar compra antecipada de equipamentos e produtos com validade</t>
        </is>
      </c>
    </row>
    <row r="12">
      <c r="A12" s="6" t="n">
        <v>11</v>
      </c>
      <c r="B12" s="6" t="inlineStr">
        <is>
          <t>mar/2028</t>
        </is>
      </c>
      <c r="C12" s="6" t="inlineStr">
        <is>
          <t>Instalações</t>
        </is>
      </c>
      <c r="D12" s="7" t="n">
        <v>0.05</v>
      </c>
      <c r="E12" s="8" t="n">
        <v>37800.09</v>
      </c>
      <c r="F12" s="8" t="n">
        <v>33668.34</v>
      </c>
      <c r="G12" s="6" t="inlineStr">
        <is>
          <t>Evitar compra antecipada de equipamentos e produtos com validade</t>
        </is>
      </c>
    </row>
    <row r="13">
      <c r="A13" t="n">
        <v>12</v>
      </c>
      <c r="B13" t="inlineStr">
        <is>
          <t>abr/2028</t>
        </is>
      </c>
      <c r="C13" t="inlineStr">
        <is>
          <t>Acabamentos</t>
        </is>
      </c>
      <c r="D13" s="9" t="n">
        <v>0.05</v>
      </c>
      <c r="E13" s="2" t="n">
        <v>37800.09</v>
      </c>
      <c r="F13" s="2" t="n">
        <v>33668.34</v>
      </c>
      <c r="G13" t="inlineStr">
        <is>
          <t>Evitar compra antecipada de equipamentos e produtos com validade</t>
        </is>
      </c>
    </row>
    <row r="14">
      <c r="A14" s="6" t="n">
        <v>13</v>
      </c>
      <c r="B14" s="6" t="inlineStr">
        <is>
          <t>mai/2028</t>
        </is>
      </c>
      <c r="C14" s="6" t="inlineStr">
        <is>
          <t>Acabamentos</t>
        </is>
      </c>
      <c r="D14" s="7" t="n">
        <v>0.05</v>
      </c>
      <c r="E14" s="8" t="n">
        <v>37800.09</v>
      </c>
      <c r="F14" s="8" t="n">
        <v>33668.34</v>
      </c>
      <c r="G14" s="6" t="inlineStr">
        <is>
          <t>Evitar compra antecipada de equipamentos e produtos com validade</t>
        </is>
      </c>
    </row>
    <row r="15">
      <c r="A15" t="n">
        <v>14</v>
      </c>
      <c r="B15" t="inlineStr">
        <is>
          <t>jun/2028</t>
        </is>
      </c>
      <c r="C15" t="inlineStr">
        <is>
          <t>Interiores</t>
        </is>
      </c>
      <c r="D15" s="9" t="n">
        <v>0.075</v>
      </c>
      <c r="E15" s="2" t="n">
        <v>56700.14</v>
      </c>
      <c r="F15" s="2" t="n">
        <v>50502.51</v>
      </c>
      <c r="G15" t="inlineStr">
        <is>
          <t>Evitar compra antecipada de equipamentos e produtos com validade</t>
        </is>
      </c>
    </row>
    <row r="16">
      <c r="A16" s="6" t="n">
        <v>15</v>
      </c>
      <c r="B16" s="6" t="inlineStr">
        <is>
          <t>jul/2028</t>
        </is>
      </c>
      <c r="C16" s="6" t="inlineStr">
        <is>
          <t>Interiores</t>
        </is>
      </c>
      <c r="D16" s="7" t="n">
        <v>0.075</v>
      </c>
      <c r="E16" s="8" t="n">
        <v>56700.14</v>
      </c>
      <c r="F16" s="8" t="n">
        <v>50502.51</v>
      </c>
      <c r="G16" s="6" t="inlineStr">
        <is>
          <t>Evitar compra antecipada de equipamentos e produtos com validade</t>
        </is>
      </c>
    </row>
    <row r="17">
      <c r="A17" t="n">
        <v>16</v>
      </c>
      <c r="B17" t="inlineStr">
        <is>
          <t>ago/2028</t>
        </is>
      </c>
      <c r="C17" t="inlineStr">
        <is>
          <t>Equipamentos e estoque</t>
        </is>
      </c>
      <c r="D17" s="9" t="n">
        <v>0.15</v>
      </c>
      <c r="E17" s="2" t="n">
        <v>113400.27</v>
      </c>
      <c r="F17" s="2" t="n">
        <v>101005.02</v>
      </c>
      <c r="G17" t="inlineStr">
        <is>
          <t>Liberar somente após validações e cronograma real</t>
        </is>
      </c>
    </row>
    <row r="18">
      <c r="A18" s="6" t="n">
        <v>17</v>
      </c>
      <c r="B18" s="6" t="inlineStr">
        <is>
          <t>set/2028</t>
        </is>
      </c>
      <c r="C18" s="6" t="inlineStr">
        <is>
          <t>Validações</t>
        </is>
      </c>
      <c r="D18" s="7" t="n">
        <v>0.05</v>
      </c>
      <c r="E18" s="8" t="n">
        <v>37800.09</v>
      </c>
      <c r="F18" s="8" t="n">
        <v>33668.34</v>
      </c>
      <c r="G18" s="6" t="inlineStr">
        <is>
          <t>Liberar somente após validações e cronograma real</t>
        </is>
      </c>
    </row>
    <row r="19">
      <c r="A19" t="n">
        <v>18</v>
      </c>
      <c r="B19" t="inlineStr">
        <is>
          <t>out/2028</t>
        </is>
      </c>
      <c r="C19" t="inlineStr">
        <is>
          <t>Abertura assistida</t>
        </is>
      </c>
      <c r="D19" s="9" t="n">
        <v>0.1</v>
      </c>
      <c r="E19" s="2" t="n">
        <v>75600.17999999999</v>
      </c>
      <c r="F19" s="2" t="n">
        <v>67336.67999999999</v>
      </c>
      <c r="G19" t="inlineStr">
        <is>
          <t>Liberar somente após validações e cronograma real</t>
        </is>
      </c>
    </row>
    <row r="20">
      <c r="A20" s="10" t="inlineStr">
        <is>
          <t>TOTAL</t>
        </is>
      </c>
      <c r="B20" s="6" t="inlineStr">
        <is>
          <t>mai/2027–out/2028</t>
        </is>
      </c>
      <c r="C20" s="6" t="inlineStr">
        <is>
          <t>18 meses</t>
        </is>
      </c>
      <c r="D20" s="7">
        <f>SUM(D2:D19)</f>
        <v/>
      </c>
      <c r="E20" s="8">
        <f>SUM(E2:E19)</f>
        <v/>
      </c>
      <c r="F20" s="8">
        <f>SUM(F2:F19)</f>
        <v/>
      </c>
      <c r="G20" s="6" t="inlineStr">
        <is>
          <t>Valores indicativos; substituir pelo fluxo contratado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2026-08-29T03:41:19Z</dcterms:created>
  <dcterms:modified xmlns:dcterms="http://purl.org/dc/terms/" xmlns:xsi="http://www.w3.org/2001/XMLSchema-instance" xsi:type="dcterms:W3CDTF">2026-08-30T15:06:16Z</dcterms:modified>
</cp:coreProperties>
</file>